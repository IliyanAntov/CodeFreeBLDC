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anto\Desktop\Uni\DR_MAG\Design\"/>
    </mc:Choice>
  </mc:AlternateContent>
  <xr:revisionPtr revIDLastSave="0" documentId="13_ncr:1_{B1E93CE9-3407-4E9E-9CCE-C9FABCA5D2BA}" xr6:coauthVersionLast="47" xr6:coauthVersionMax="47" xr10:uidLastSave="{00000000-0000-0000-0000-000000000000}"/>
  <bookViews>
    <workbookView xWindow="15360" yWindow="0" windowWidth="15360" windowHeight="16680" firstSheet="1" activeTab="2" xr2:uid="{00000000-000D-0000-FFFF-FFFF00000000}"/>
  </bookViews>
  <sheets>
    <sheet name="Voltage-Speed conversion" sheetId="1" r:id="rId1"/>
    <sheet name="Bus sense" sheetId="10" r:id="rId2"/>
    <sheet name="+15V power supply LM317" sheetId="11" r:id="rId3"/>
    <sheet name="+3.3V power supply LM317" sheetId="12" r:id="rId4"/>
    <sheet name="Temperatures" sheetId="6" r:id="rId5"/>
    <sheet name="(old) +15V power supply TL431" sheetId="8" r:id="rId6"/>
    <sheet name="(old) +3.3V power supply TL431" sheetId="9" r:id="rId7"/>
    <sheet name="(old) NTC temperature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1" l="1"/>
  <c r="D4" i="11"/>
  <c r="B4" i="11"/>
  <c r="C19" i="12"/>
  <c r="D19" i="12"/>
  <c r="B19" i="12"/>
  <c r="D5" i="12" l="1"/>
  <c r="C5" i="12"/>
  <c r="B5" i="12"/>
  <c r="C11" i="11"/>
  <c r="D11" i="11"/>
  <c r="B11" i="11"/>
  <c r="C10" i="12"/>
  <c r="C15" i="12"/>
  <c r="C16" i="12" s="1"/>
  <c r="C14" i="12"/>
  <c r="C17" i="12" s="1"/>
  <c r="D13" i="12"/>
  <c r="B13" i="12"/>
  <c r="C12" i="12"/>
  <c r="D11" i="12"/>
  <c r="B15" i="12" s="1"/>
  <c r="B6" i="11" s="1"/>
  <c r="B20" i="11" s="1"/>
  <c r="B11" i="12"/>
  <c r="B12" i="12" s="1"/>
  <c r="D10" i="12"/>
  <c r="B10" i="12"/>
  <c r="C16" i="11"/>
  <c r="C17" i="11" s="1"/>
  <c r="C15" i="11"/>
  <c r="C21" i="11" s="1"/>
  <c r="D14" i="11"/>
  <c r="B14" i="11"/>
  <c r="C13" i="11"/>
  <c r="D12" i="11"/>
  <c r="B16" i="11" s="1"/>
  <c r="B12" i="11"/>
  <c r="B13" i="11" s="1"/>
  <c r="D7" i="1"/>
  <c r="B7" i="1"/>
  <c r="B2" i="1"/>
  <c r="D2" i="1"/>
  <c r="C5" i="10"/>
  <c r="D4" i="10"/>
  <c r="D5" i="10" s="1"/>
  <c r="B4" i="10"/>
  <c r="B5" i="10" s="1"/>
  <c r="B3" i="10"/>
  <c r="D3" i="10"/>
  <c r="B4" i="1"/>
  <c r="D4" i="1"/>
  <c r="B6" i="1"/>
  <c r="B5" i="1"/>
  <c r="C7" i="1"/>
  <c r="D6" i="1"/>
  <c r="D5" i="1"/>
  <c r="B14" i="8"/>
  <c r="D14" i="8"/>
  <c r="D13" i="8"/>
  <c r="B13" i="8"/>
  <c r="B14" i="9"/>
  <c r="D14" i="9"/>
  <c r="C14" i="9"/>
  <c r="C14" i="8"/>
  <c r="D30" i="6"/>
  <c r="D34" i="6" s="1"/>
  <c r="B30" i="6"/>
  <c r="B34" i="6" s="1"/>
  <c r="B3" i="6"/>
  <c r="B8" i="6" s="1"/>
  <c r="D3" i="6"/>
  <c r="D5" i="8"/>
  <c r="C34" i="6"/>
  <c r="C33" i="6"/>
  <c r="C2" i="1"/>
  <c r="C5" i="8"/>
  <c r="B5" i="8"/>
  <c r="D18" i="8" s="1"/>
  <c r="D5" i="9"/>
  <c r="C5" i="9"/>
  <c r="B5" i="9"/>
  <c r="D18" i="9"/>
  <c r="D19" i="9"/>
  <c r="B19" i="9"/>
  <c r="C15" i="9"/>
  <c r="D13" i="9"/>
  <c r="B13" i="9"/>
  <c r="C12" i="9"/>
  <c r="D11" i="9"/>
  <c r="D12" i="9" s="1"/>
  <c r="B11" i="9"/>
  <c r="B12" i="9" s="1"/>
  <c r="D10" i="9"/>
  <c r="C10" i="9"/>
  <c r="B10" i="9"/>
  <c r="C12" i="8"/>
  <c r="B10" i="8"/>
  <c r="D10" i="8"/>
  <c r="C10" i="8"/>
  <c r="D19" i="8"/>
  <c r="B19" i="8"/>
  <c r="D11" i="8"/>
  <c r="D12" i="8" s="1"/>
  <c r="B11" i="8"/>
  <c r="B12" i="8" s="1"/>
  <c r="C17" i="8"/>
  <c r="C26" i="6"/>
  <c r="D26" i="6"/>
  <c r="C25" i="6"/>
  <c r="D17" i="6"/>
  <c r="C17" i="6"/>
  <c r="C16" i="6"/>
  <c r="D8" i="6"/>
  <c r="C6" i="6"/>
  <c r="C8" i="6"/>
  <c r="B8" i="4"/>
  <c r="D7" i="4"/>
  <c r="D8" i="4" s="1"/>
  <c r="B7" i="4"/>
  <c r="B6" i="4"/>
  <c r="D6" i="4"/>
  <c r="C6" i="4"/>
  <c r="C7" i="4" s="1"/>
  <c r="C8" i="4" s="1"/>
  <c r="C6" i="11" l="1"/>
  <c r="B16" i="12"/>
  <c r="B14" i="12"/>
  <c r="B17" i="12" s="1"/>
  <c r="D14" i="12"/>
  <c r="D17" i="12" s="1"/>
  <c r="D12" i="12"/>
  <c r="C2" i="12"/>
  <c r="C20" i="12" s="1"/>
  <c r="C21" i="12" s="1"/>
  <c r="C22" i="12" s="1"/>
  <c r="D15" i="12"/>
  <c r="B17" i="11"/>
  <c r="B15" i="11"/>
  <c r="D15" i="11"/>
  <c r="C18" i="11"/>
  <c r="D16" i="11"/>
  <c r="D17" i="11" s="1"/>
  <c r="D13" i="11"/>
  <c r="B35" i="6"/>
  <c r="C35" i="6"/>
  <c r="D35" i="6"/>
  <c r="B9" i="6"/>
  <c r="D27" i="6"/>
  <c r="D18" i="6"/>
  <c r="B15" i="9"/>
  <c r="C17" i="9"/>
  <c r="C20" i="9" s="1"/>
  <c r="D15" i="9"/>
  <c r="C15" i="8"/>
  <c r="B17" i="9"/>
  <c r="B18" i="9" s="1"/>
  <c r="C20" i="8"/>
  <c r="C9" i="6"/>
  <c r="D9" i="6"/>
  <c r="C18" i="6"/>
  <c r="C27" i="6"/>
  <c r="C22" i="11" l="1"/>
  <c r="C20" i="11"/>
  <c r="D16" i="12"/>
  <c r="D6" i="11"/>
  <c r="D20" i="11" s="1"/>
  <c r="B18" i="11"/>
  <c r="B2" i="12"/>
  <c r="B20" i="12" s="1"/>
  <c r="B21" i="12" s="1"/>
  <c r="B22" i="12" s="1"/>
  <c r="B21" i="11"/>
  <c r="D2" i="12"/>
  <c r="D20" i="12" s="1"/>
  <c r="D21" i="12" s="1"/>
  <c r="D22" i="12" s="1"/>
  <c r="D21" i="11"/>
  <c r="D18" i="11"/>
  <c r="C21" i="9"/>
  <c r="C18" i="9"/>
  <c r="C22" i="9"/>
  <c r="D15" i="8"/>
  <c r="D17" i="9"/>
  <c r="D20" i="9" s="1"/>
  <c r="B20" i="9"/>
  <c r="C21" i="8"/>
  <c r="C22" i="8"/>
  <c r="B15" i="8"/>
  <c r="D17" i="8"/>
  <c r="B17" i="8"/>
  <c r="C23" i="11" l="1"/>
  <c r="C37" i="6"/>
  <c r="B22" i="11"/>
  <c r="B23" i="11" s="1"/>
  <c r="D22" i="11"/>
  <c r="D23" i="11" s="1"/>
  <c r="C4" i="1"/>
  <c r="C24" i="9"/>
  <c r="C25" i="9" s="1"/>
  <c r="C18" i="8"/>
  <c r="D21" i="9"/>
  <c r="D22" i="9"/>
  <c r="B21" i="9"/>
  <c r="B22" i="9"/>
  <c r="D20" i="8"/>
  <c r="B20" i="8"/>
  <c r="B22" i="8" l="1"/>
  <c r="D24" i="9"/>
  <c r="D25" i="9" s="1"/>
  <c r="B18" i="8"/>
  <c r="C24" i="8"/>
  <c r="C25" i="8" s="1"/>
  <c r="B24" i="9"/>
  <c r="B25" i="9" s="1"/>
  <c r="D21" i="8"/>
  <c r="D22" i="8"/>
  <c r="B21" i="8"/>
  <c r="B24" i="8" l="1"/>
  <c r="B25" i="8" s="1"/>
  <c r="D24" i="8"/>
  <c r="D25" i="8" s="1"/>
</calcChain>
</file>

<file path=xl/sharedStrings.xml><?xml version="1.0" encoding="utf-8"?>
<sst xmlns="http://schemas.openxmlformats.org/spreadsheetml/2006/main" count="263" uniqueCount="83">
  <si>
    <t>Speed [RPM]</t>
  </si>
  <si>
    <t>Min</t>
  </si>
  <si>
    <t>Max</t>
  </si>
  <si>
    <t>Percentages</t>
  </si>
  <si>
    <t>Start</t>
  </si>
  <si>
    <t>Stop</t>
  </si>
  <si>
    <t>ADC voltage [V]</t>
  </si>
  <si>
    <t>Target</t>
  </si>
  <si>
    <t>Nom</t>
  </si>
  <si>
    <t>Vin [V]</t>
  </si>
  <si>
    <t>Vout [V]</t>
  </si>
  <si>
    <t>-</t>
  </si>
  <si>
    <t>Iout [mA]</t>
  </si>
  <si>
    <t>Preg [W]</t>
  </si>
  <si>
    <t>IC</t>
  </si>
  <si>
    <t>TL431CDR</t>
  </si>
  <si>
    <t>Tja [K/W]</t>
  </si>
  <si>
    <t>Treg [°C]</t>
  </si>
  <si>
    <t>Tamb [°C]</t>
  </si>
  <si>
    <t>Vref [V]</t>
  </si>
  <si>
    <t>Iref [uA]</t>
  </si>
  <si>
    <t>Resistor tolerance [%]</t>
  </si>
  <si>
    <t>R1 [kΩ]</t>
  </si>
  <si>
    <t>R2 [kΩ]</t>
  </si>
  <si>
    <t>Pres [W]</t>
  </si>
  <si>
    <t>Udrop [V]</t>
  </si>
  <si>
    <t>Rsup[Ω]</t>
  </si>
  <si>
    <t>Rsup_target [Ω]</t>
  </si>
  <si>
    <t>Ires [mA]</t>
  </si>
  <si>
    <t>Vout_target [V]</t>
  </si>
  <si>
    <t>LM317</t>
  </si>
  <si>
    <t>Iadj [uA]</t>
  </si>
  <si>
    <t>Ir1 [mA]</t>
  </si>
  <si>
    <t>Ir1_target [mA]</t>
  </si>
  <si>
    <t>Pr2 [mW]</t>
  </si>
  <si>
    <t>Pr1 [mW]</t>
  </si>
  <si>
    <t>R1_target [Ω]</t>
  </si>
  <si>
    <t>R1[Ω]</t>
  </si>
  <si>
    <t>R2_target [Ω]</t>
  </si>
  <si>
    <t>R2 [Ω]</t>
  </si>
  <si>
    <t>Rntc [Ω]</t>
  </si>
  <si>
    <t>k</t>
  </si>
  <si>
    <t>n</t>
  </si>
  <si>
    <t>Istdy [A]</t>
  </si>
  <si>
    <t>Pntc [W]</t>
  </si>
  <si>
    <t>Tntc [°C]</t>
  </si>
  <si>
    <t>δntc [mW/°C]</t>
  </si>
  <si>
    <t>Rdson [mΩ]</t>
  </si>
  <si>
    <t>I [A]</t>
  </si>
  <si>
    <t>Tboard[°C]</t>
  </si>
  <si>
    <t>Ptransistor[W]</t>
  </si>
  <si>
    <t>Cu area [mm^2]</t>
  </si>
  <si>
    <t>Cu area [in^2]</t>
  </si>
  <si>
    <t>Rth(j-mb) [°C/W]</t>
  </si>
  <si>
    <t>R [Ω]</t>
  </si>
  <si>
    <t>Inverter transistors (6x):</t>
  </si>
  <si>
    <t>24V power transistor:</t>
  </si>
  <si>
    <t>Rth(polygon) [°C in^2/W]</t>
  </si>
  <si>
    <t>R1_target [kΩ]</t>
  </si>
  <si>
    <t>Idiv_target [mA]</t>
  </si>
  <si>
    <t>R2_target [kΩ]</t>
  </si>
  <si>
    <t>Idiv [mA]</t>
  </si>
  <si>
    <t>Iout_target [mA]</t>
  </si>
  <si>
    <t>Output</t>
  </si>
  <si>
    <t>Temperature</t>
  </si>
  <si>
    <t>text</t>
  </si>
  <si>
    <t>Non-editable</t>
  </si>
  <si>
    <t>Editable</t>
  </si>
  <si>
    <t>Parameter</t>
  </si>
  <si>
    <t>Iload [mA]</t>
  </si>
  <si>
    <t>Rupper [kΩ]</t>
  </si>
  <si>
    <t>Rlower [kΩ]</t>
  </si>
  <si>
    <t>Vdiv_target [V]</t>
  </si>
  <si>
    <t>24V power shunt resistor:</t>
  </si>
  <si>
    <t>Inverter shunt resistors (5x):</t>
  </si>
  <si>
    <t>VSP [V]</t>
  </si>
  <si>
    <t>BUS_SENSE [V]</t>
  </si>
  <si>
    <t>VDC [V]</t>
  </si>
  <si>
    <t>I(3.3V+reg) [mA]</t>
  </si>
  <si>
    <t>I(15V) [mA]</t>
  </si>
  <si>
    <t>I(3.3V) [mA]</t>
  </si>
  <si>
    <t>Ireg [mA]</t>
  </si>
  <si>
    <t>Ptot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</si>
</sst>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2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2" fontId="0" fillId="2" borderId="0" xfId="0" applyNumberFormat="1" applyFill="1"/>
    <xf numFmtId="2" fontId="0" fillId="2" borderId="0" xfId="0" applyNumberFormat="1" applyFill="1" applyAlignment="1">
      <alignment horizontal="left" vertical="center"/>
    </xf>
    <xf numFmtId="2" fontId="0" fillId="4" borderId="0" xfId="0" applyNumberFormat="1" applyFill="1" applyAlignment="1">
      <alignment horizontal="left" vertical="center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3" borderId="0" xfId="0" applyFill="1"/>
    <xf numFmtId="9" fontId="3" fillId="0" borderId="0" xfId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</xdr:row>
      <xdr:rowOff>9525</xdr:rowOff>
    </xdr:from>
    <xdr:to>
      <xdr:col>13</xdr:col>
      <xdr:colOff>419735</xdr:colOff>
      <xdr:row>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31071-0F11-F30C-8558-2DB424C5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0" y="771525"/>
          <a:ext cx="5134610" cy="22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3</xdr:row>
      <xdr:rowOff>152400</xdr:rowOff>
    </xdr:from>
    <xdr:to>
      <xdr:col>15</xdr:col>
      <xdr:colOff>124558</xdr:colOff>
      <xdr:row>12</xdr:row>
      <xdr:rowOff>162166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8736FE-323D-7A5B-9574-4E4EBDDB1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8775" y="723900"/>
          <a:ext cx="5249008" cy="17242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3</xdr:row>
      <xdr:rowOff>28575</xdr:rowOff>
    </xdr:from>
    <xdr:to>
      <xdr:col>16</xdr:col>
      <xdr:colOff>77059</xdr:colOff>
      <xdr:row>29</xdr:row>
      <xdr:rowOff>172161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05623-DDEC-4526-9A55-D932F110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600075"/>
          <a:ext cx="6154009" cy="5096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3</xdr:row>
      <xdr:rowOff>28575</xdr:rowOff>
    </xdr:from>
    <xdr:to>
      <xdr:col>16</xdr:col>
      <xdr:colOff>77059</xdr:colOff>
      <xdr:row>29</xdr:row>
      <xdr:rowOff>172161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A2E8F-C476-4E4D-B668-2B3BE7E49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600075"/>
          <a:ext cx="6154009" cy="50965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4</xdr:row>
      <xdr:rowOff>9525</xdr:rowOff>
    </xdr:from>
    <xdr:to>
      <xdr:col>15</xdr:col>
      <xdr:colOff>312258</xdr:colOff>
      <xdr:row>21</xdr:row>
      <xdr:rowOff>29460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5D816-DF25-CAD1-93FD-35284ECC3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5" y="771525"/>
          <a:ext cx="5655783" cy="32584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219075</xdr:colOff>
      <xdr:row>3</xdr:row>
      <xdr:rowOff>133350</xdr:rowOff>
    </xdr:from>
    <xdr:to>
      <xdr:col>15</xdr:col>
      <xdr:colOff>169383</xdr:colOff>
      <xdr:row>20</xdr:row>
      <xdr:rowOff>153285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53D92-334D-4503-954F-C299B46FC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704850"/>
          <a:ext cx="5655783" cy="32584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15</xdr:row>
      <xdr:rowOff>133349</xdr:rowOff>
    </xdr:from>
    <xdr:to>
      <xdr:col>13</xdr:col>
      <xdr:colOff>471568</xdr:colOff>
      <xdr:row>38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4D9E4-F519-1A14-46CE-DCDA41E54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5" y="2990849"/>
          <a:ext cx="4510168" cy="4333875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152400</xdr:rowOff>
    </xdr:from>
    <xdr:to>
      <xdr:col>17</xdr:col>
      <xdr:colOff>333375</xdr:colOff>
      <xdr:row>15</xdr:row>
      <xdr:rowOff>18446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07EEBD-77C7-2C6D-BCBF-A98C78BC2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1325" y="152400"/>
          <a:ext cx="7953375" cy="2723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E4" sqref="E4"/>
    </sheetView>
  </sheetViews>
  <sheetFormatPr defaultRowHeight="14.4" x14ac:dyDescent="0.3"/>
  <cols>
    <col min="1" max="1" width="14.33203125" customWidth="1"/>
    <col min="7" max="7" width="12.6640625" customWidth="1"/>
    <col min="9" max="9" width="15.88671875" customWidth="1"/>
    <col min="10" max="10" width="23.88671875" customWidth="1"/>
    <col min="12" max="12" width="13.44140625" customWidth="1"/>
  </cols>
  <sheetData>
    <row r="1" spans="1:10" x14ac:dyDescent="0.3">
      <c r="B1" s="2" t="s">
        <v>1</v>
      </c>
      <c r="C1" s="2" t="s">
        <v>8</v>
      </c>
      <c r="D1" s="2" t="s">
        <v>2</v>
      </c>
      <c r="F1" s="37" t="s">
        <v>3</v>
      </c>
      <c r="G1" s="37"/>
      <c r="H1" s="37"/>
    </row>
    <row r="2" spans="1:10" x14ac:dyDescent="0.3">
      <c r="A2" t="s">
        <v>6</v>
      </c>
      <c r="B2" s="3">
        <f>'(old) +3.3V power supply TL431'!B14</f>
        <v>3.2216934042553187</v>
      </c>
      <c r="C2" s="35">
        <f>'(old) +3.3V power supply TL431'!C14</f>
        <v>3.2942765957446807</v>
      </c>
      <c r="D2" s="3">
        <f>'(old) +3.3V power supply TL431'!D14</f>
        <v>3.3698897872340421</v>
      </c>
      <c r="F2" s="2" t="s">
        <v>5</v>
      </c>
      <c r="G2" s="2" t="s">
        <v>4</v>
      </c>
      <c r="H2" s="2" t="s">
        <v>2</v>
      </c>
      <c r="J2" s="2" t="s">
        <v>21</v>
      </c>
    </row>
    <row r="3" spans="1:10" x14ac:dyDescent="0.3">
      <c r="A3" t="s">
        <v>0</v>
      </c>
      <c r="B3" s="27">
        <v>200</v>
      </c>
      <c r="C3" s="27">
        <v>1700</v>
      </c>
      <c r="D3" s="27">
        <v>2000</v>
      </c>
      <c r="F3" s="30">
        <v>0.2</v>
      </c>
      <c r="G3" s="30">
        <v>0.24</v>
      </c>
      <c r="H3" s="30">
        <v>0.96</v>
      </c>
      <c r="J3" s="27">
        <v>1</v>
      </c>
    </row>
    <row r="4" spans="1:10" x14ac:dyDescent="0.3">
      <c r="A4" s="29" t="s">
        <v>72</v>
      </c>
      <c r="B4" s="3">
        <f>G3*C2</f>
        <v>0.79062638297872334</v>
      </c>
      <c r="C4" s="13">
        <f>((C3-B3)/(D3-B3)*(D4-B4))+B4</f>
        <v>2.7671923404255319</v>
      </c>
      <c r="D4" s="3">
        <f>H3*C2</f>
        <v>3.1625055319148934</v>
      </c>
    </row>
    <row r="5" spans="1:10" x14ac:dyDescent="0.3">
      <c r="A5" s="20" t="s">
        <v>70</v>
      </c>
      <c r="B5" s="21">
        <f>C5*(1-$J$3/100)</f>
        <v>3.1680000000000001</v>
      </c>
      <c r="C5" s="33">
        <v>3.2</v>
      </c>
      <c r="D5" s="21">
        <f>C5*(1+$J$3/100)</f>
        <v>3.2320000000000002</v>
      </c>
      <c r="F5" s="27" t="s">
        <v>65</v>
      </c>
      <c r="G5" t="s">
        <v>67</v>
      </c>
    </row>
    <row r="6" spans="1:10" x14ac:dyDescent="0.3">
      <c r="A6" s="20" t="s">
        <v>71</v>
      </c>
      <c r="B6" s="21">
        <f>C6*(1-$J$3/100)</f>
        <v>16.632000000000001</v>
      </c>
      <c r="C6" s="33">
        <v>16.8</v>
      </c>
      <c r="D6" s="21">
        <f>C6*(1+$J$3/100)</f>
        <v>16.968</v>
      </c>
      <c r="F6" s="2" t="s">
        <v>65</v>
      </c>
      <c r="G6" t="s">
        <v>66</v>
      </c>
    </row>
    <row r="7" spans="1:10" x14ac:dyDescent="0.3">
      <c r="A7" s="6" t="s">
        <v>75</v>
      </c>
      <c r="B7" s="7">
        <f>B6/(B6+D5)*$B$2</f>
        <v>2.6975032571271882</v>
      </c>
      <c r="C7" s="7">
        <f>C6/(C6+C5)*$C$2</f>
        <v>2.7671923404255319</v>
      </c>
      <c r="D7" s="7">
        <f>D6/(D6+B5)*$D$2</f>
        <v>2.8397045048563383</v>
      </c>
      <c r="F7" s="29"/>
      <c r="G7" t="s">
        <v>7</v>
      </c>
    </row>
    <row r="8" spans="1:10" x14ac:dyDescent="0.3">
      <c r="F8" s="20"/>
      <c r="G8" t="s">
        <v>68</v>
      </c>
    </row>
    <row r="9" spans="1:10" x14ac:dyDescent="0.3">
      <c r="F9" s="6"/>
      <c r="G9" t="s">
        <v>63</v>
      </c>
    </row>
    <row r="10" spans="1:10" x14ac:dyDescent="0.3">
      <c r="F10" s="9"/>
      <c r="G10" t="s">
        <v>64</v>
      </c>
    </row>
  </sheetData>
  <mergeCells count="1"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65A6-81AD-4C02-952E-0CADC68F2ACC}">
  <dimension ref="A1:I7"/>
  <sheetViews>
    <sheetView workbookViewId="0">
      <selection activeCell="I18" sqref="I18"/>
    </sheetView>
  </sheetViews>
  <sheetFormatPr defaultRowHeight="14.4" x14ac:dyDescent="0.3"/>
  <cols>
    <col min="1" max="1" width="14.33203125" customWidth="1"/>
    <col min="7" max="7" width="12.6640625" customWidth="1"/>
    <col min="9" max="9" width="21.6640625" customWidth="1"/>
    <col min="10" max="10" width="9.109375" customWidth="1"/>
    <col min="12" max="12" width="9.109375" customWidth="1"/>
  </cols>
  <sheetData>
    <row r="1" spans="1:9" x14ac:dyDescent="0.3">
      <c r="B1" s="2" t="s">
        <v>1</v>
      </c>
      <c r="C1" s="2" t="s">
        <v>8</v>
      </c>
      <c r="D1" s="2" t="s">
        <v>2</v>
      </c>
    </row>
    <row r="2" spans="1:9" x14ac:dyDescent="0.3">
      <c r="A2" t="s">
        <v>77</v>
      </c>
      <c r="B2" s="27">
        <v>22</v>
      </c>
      <c r="C2" s="27">
        <v>24</v>
      </c>
      <c r="D2" s="27">
        <v>26</v>
      </c>
      <c r="F2" s="27" t="s">
        <v>65</v>
      </c>
      <c r="G2" t="s">
        <v>67</v>
      </c>
      <c r="I2" s="2" t="s">
        <v>21</v>
      </c>
    </row>
    <row r="3" spans="1:9" x14ac:dyDescent="0.3">
      <c r="A3" s="20" t="s">
        <v>70</v>
      </c>
      <c r="B3" s="32">
        <f>C3*(1-$I$3/100)</f>
        <v>990</v>
      </c>
      <c r="C3" s="34">
        <v>1000</v>
      </c>
      <c r="D3" s="32">
        <f>C3*(1+$I$3/100)</f>
        <v>1010</v>
      </c>
      <c r="F3" s="2" t="s">
        <v>65</v>
      </c>
      <c r="G3" t="s">
        <v>66</v>
      </c>
      <c r="I3" s="27">
        <v>1</v>
      </c>
    </row>
    <row r="4" spans="1:9" x14ac:dyDescent="0.3">
      <c r="A4" s="20" t="s">
        <v>71</v>
      </c>
      <c r="B4" s="32">
        <f>C4*(1-$I$3/100)</f>
        <v>99</v>
      </c>
      <c r="C4" s="34">
        <v>100</v>
      </c>
      <c r="D4" s="32">
        <f>C4*(1+$I$3/100)</f>
        <v>101</v>
      </c>
      <c r="F4" s="29"/>
      <c r="G4" t="s">
        <v>7</v>
      </c>
    </row>
    <row r="5" spans="1:9" x14ac:dyDescent="0.3">
      <c r="A5" s="6" t="s">
        <v>76</v>
      </c>
      <c r="B5" s="7">
        <f>B4/(B4+D3)*B2</f>
        <v>1.9639314697926058</v>
      </c>
      <c r="C5" s="7">
        <f>C4/(C4+C3)*C2</f>
        <v>2.1818181818181817</v>
      </c>
      <c r="D5" s="7">
        <f>D4/(D4+B3)*D2</f>
        <v>2.4069660861594868</v>
      </c>
      <c r="F5" s="20"/>
      <c r="G5" t="s">
        <v>68</v>
      </c>
    </row>
    <row r="6" spans="1:9" x14ac:dyDescent="0.3">
      <c r="F6" s="6"/>
      <c r="G6" t="s">
        <v>63</v>
      </c>
    </row>
    <row r="7" spans="1:9" x14ac:dyDescent="0.3">
      <c r="F7" s="9"/>
      <c r="G7" t="s">
        <v>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111-6DF1-4534-9E84-DC948969C857}">
  <dimension ref="A1:K27"/>
  <sheetViews>
    <sheetView tabSelected="1" workbookViewId="0">
      <selection activeCell="E38" sqref="E38"/>
    </sheetView>
  </sheetViews>
  <sheetFormatPr defaultRowHeight="14.4" x14ac:dyDescent="0.3"/>
  <cols>
    <col min="1" max="1" width="16.6640625" customWidth="1"/>
    <col min="2" max="4" width="9.109375" style="2"/>
    <col min="6" max="6" width="10.33203125" customWidth="1"/>
    <col min="7" max="7" width="13.44140625" customWidth="1"/>
    <col min="8" max="8" width="9.109375" customWidth="1"/>
    <col min="9" max="9" width="9.109375" style="1" customWidth="1"/>
    <col min="10" max="10" width="21.5546875" customWidth="1"/>
    <col min="11" max="11" width="9.109375" style="2" customWidth="1"/>
  </cols>
  <sheetData>
    <row r="1" spans="1:11" x14ac:dyDescent="0.3">
      <c r="B1" s="2" t="s">
        <v>1</v>
      </c>
      <c r="C1" s="2" t="s">
        <v>8</v>
      </c>
      <c r="D1" s="2" t="s">
        <v>2</v>
      </c>
      <c r="F1" s="2" t="s">
        <v>14</v>
      </c>
      <c r="G1" s="2" t="s">
        <v>16</v>
      </c>
      <c r="H1" s="2" t="s">
        <v>18</v>
      </c>
      <c r="I1" s="2"/>
      <c r="J1" s="2" t="s">
        <v>21</v>
      </c>
    </row>
    <row r="2" spans="1:11" x14ac:dyDescent="0.3">
      <c r="A2" t="s">
        <v>9</v>
      </c>
      <c r="B2" s="26">
        <v>22</v>
      </c>
      <c r="C2" s="26">
        <v>24</v>
      </c>
      <c r="D2" s="26">
        <v>26</v>
      </c>
      <c r="F2" s="1" t="s">
        <v>30</v>
      </c>
      <c r="G2" s="2">
        <v>50</v>
      </c>
      <c r="H2" s="2">
        <v>40</v>
      </c>
      <c r="I2" s="2"/>
      <c r="J2" s="2">
        <v>1</v>
      </c>
    </row>
    <row r="3" spans="1:11" x14ac:dyDescent="0.3">
      <c r="A3" s="29" t="s">
        <v>29</v>
      </c>
      <c r="B3" s="25">
        <v>15</v>
      </c>
      <c r="C3" s="25">
        <v>15</v>
      </c>
      <c r="D3" s="25">
        <v>15</v>
      </c>
      <c r="I3" s="2"/>
    </row>
    <row r="4" spans="1:11" x14ac:dyDescent="0.3">
      <c r="A4" t="s">
        <v>78</v>
      </c>
      <c r="B4" s="35">
        <f>'+3.3V power supply LM317'!B19</f>
        <v>11.881188118811881</v>
      </c>
      <c r="C4" s="35">
        <f>'+3.3V power supply LM317'!C19</f>
        <v>27.5</v>
      </c>
      <c r="D4" s="35">
        <f>'+3.3V power supply LM317'!D19</f>
        <v>38.131313131313135</v>
      </c>
      <c r="F4" s="27" t="s">
        <v>65</v>
      </c>
      <c r="G4" t="s">
        <v>67</v>
      </c>
      <c r="I4" s="5"/>
      <c r="K4" s="1"/>
    </row>
    <row r="5" spans="1:11" x14ac:dyDescent="0.3">
      <c r="A5" t="s">
        <v>79</v>
      </c>
      <c r="B5" s="28">
        <v>0</v>
      </c>
      <c r="C5" s="28">
        <v>9.81</v>
      </c>
      <c r="D5" s="28">
        <v>16.62</v>
      </c>
      <c r="F5" s="2" t="s">
        <v>65</v>
      </c>
      <c r="G5" t="s">
        <v>66</v>
      </c>
      <c r="I5" s="5"/>
      <c r="K5" s="1"/>
    </row>
    <row r="6" spans="1:11" x14ac:dyDescent="0.3">
      <c r="A6" t="s">
        <v>69</v>
      </c>
      <c r="B6" s="35">
        <f>B4+B5</f>
        <v>11.881188118811881</v>
      </c>
      <c r="C6" s="35">
        <f>C4+C5</f>
        <v>37.31</v>
      </c>
      <c r="D6" s="35">
        <f>D4+D5</f>
        <v>54.75131313131314</v>
      </c>
      <c r="F6" s="29"/>
      <c r="G6" t="s">
        <v>7</v>
      </c>
      <c r="I6" s="2"/>
    </row>
    <row r="7" spans="1:11" x14ac:dyDescent="0.3">
      <c r="F7" s="20"/>
      <c r="G7" t="s">
        <v>68</v>
      </c>
      <c r="I7" s="5"/>
    </row>
    <row r="8" spans="1:11" x14ac:dyDescent="0.3">
      <c r="A8" t="s">
        <v>19</v>
      </c>
      <c r="B8" s="2">
        <v>1.2</v>
      </c>
      <c r="C8" s="2">
        <v>1.25</v>
      </c>
      <c r="D8" s="2">
        <v>1.3</v>
      </c>
      <c r="F8" s="6"/>
      <c r="G8" t="s">
        <v>63</v>
      </c>
    </row>
    <row r="9" spans="1:11" x14ac:dyDescent="0.3">
      <c r="A9" t="s">
        <v>31</v>
      </c>
      <c r="B9" s="2">
        <v>10</v>
      </c>
      <c r="C9" s="2">
        <v>50</v>
      </c>
      <c r="D9" s="2">
        <v>100</v>
      </c>
      <c r="F9" s="9"/>
      <c r="G9" t="s">
        <v>64</v>
      </c>
    </row>
    <row r="10" spans="1:11" x14ac:dyDescent="0.3">
      <c r="A10" s="29" t="s">
        <v>33</v>
      </c>
      <c r="B10" s="25">
        <v>10</v>
      </c>
      <c r="C10" s="25">
        <v>10</v>
      </c>
      <c r="D10" s="25">
        <v>10</v>
      </c>
    </row>
    <row r="11" spans="1:11" x14ac:dyDescent="0.3">
      <c r="A11" s="29" t="s">
        <v>36</v>
      </c>
      <c r="B11" s="31">
        <f>B8/D10*1000</f>
        <v>120</v>
      </c>
      <c r="C11" s="31">
        <f>C8/C10*1000</f>
        <v>125</v>
      </c>
      <c r="D11" s="31">
        <f>D8/B10*1000</f>
        <v>130</v>
      </c>
    </row>
    <row r="12" spans="1:11" x14ac:dyDescent="0.3">
      <c r="A12" s="20" t="s">
        <v>37</v>
      </c>
      <c r="B12" s="23">
        <f>C12-($J$2/100*C12)</f>
        <v>108.9</v>
      </c>
      <c r="C12" s="24">
        <v>110</v>
      </c>
      <c r="D12" s="23">
        <f>C12+($J$2/100*C12)</f>
        <v>111.1</v>
      </c>
    </row>
    <row r="13" spans="1:11" x14ac:dyDescent="0.3">
      <c r="A13" s="29" t="s">
        <v>38</v>
      </c>
      <c r="B13" s="31">
        <f>(B3-D8)/(D8/(B12)+D9/1000000)</f>
        <v>1138.1046464615642</v>
      </c>
      <c r="C13" s="31">
        <f>(C3-C8)/(C8/(C12)+C9/1000000)</f>
        <v>1204.699322978893</v>
      </c>
      <c r="D13" s="31">
        <f>(D3-B8)/(B8/(D12)+B9/1000000)</f>
        <v>1276.4682031885482</v>
      </c>
    </row>
    <row r="14" spans="1:11" x14ac:dyDescent="0.3">
      <c r="A14" s="20" t="s">
        <v>39</v>
      </c>
      <c r="B14" s="32">
        <f>C14-($J$2/100*C14)</f>
        <v>1188</v>
      </c>
      <c r="C14" s="24">
        <v>1200</v>
      </c>
      <c r="D14" s="32">
        <f>C14+($J$2/100*C14)</f>
        <v>1212</v>
      </c>
    </row>
    <row r="15" spans="1:11" x14ac:dyDescent="0.3">
      <c r="A15" s="17" t="s">
        <v>10</v>
      </c>
      <c r="B15" s="7">
        <f>B8*(1+B14/D12)+(B9/1000000*B14)</f>
        <v>14.043563168316831</v>
      </c>
      <c r="C15" s="7">
        <f>C8*(1+C14/C12)+(C9/1000000*C14)</f>
        <v>14.946363636363635</v>
      </c>
      <c r="D15" s="7">
        <f>D8*(1+D14/B12)+(D9/1000000*D14)</f>
        <v>15.889519559228651</v>
      </c>
    </row>
    <row r="16" spans="1:11" x14ac:dyDescent="0.3">
      <c r="A16" t="s">
        <v>32</v>
      </c>
      <c r="B16" s="3">
        <f>B8/D12*1000</f>
        <v>10.801080108010801</v>
      </c>
      <c r="C16" s="3">
        <f>C8/C12*1000</f>
        <v>11.363636363636363</v>
      </c>
      <c r="D16" s="3">
        <f>D8/B12*1000</f>
        <v>11.937557392102846</v>
      </c>
    </row>
    <row r="17" spans="1:4" x14ac:dyDescent="0.3">
      <c r="A17" s="20" t="s">
        <v>35</v>
      </c>
      <c r="B17" s="32">
        <f>POWER(B16, 2)*B12/1000</f>
        <v>12.704636800313693</v>
      </c>
      <c r="C17" s="32">
        <f t="shared" ref="C17:D17" si="0">POWER(C16, 2)*C12/1000</f>
        <v>14.204545454545453</v>
      </c>
      <c r="D17" s="32">
        <f t="shared" si="0"/>
        <v>15.832336218011145</v>
      </c>
    </row>
    <row r="18" spans="1:4" x14ac:dyDescent="0.3">
      <c r="A18" s="20" t="s">
        <v>34</v>
      </c>
      <c r="B18" s="32">
        <f>POWER((B15-D8), 2)/D14*1000</f>
        <v>133.99208104363146</v>
      </c>
      <c r="C18" s="32">
        <f>POWER((C15-C8), 2)/C14*1000</f>
        <v>156.32531404958678</v>
      </c>
      <c r="D18" s="32">
        <f>POWER((D15-B8), 2)/B14*1000</f>
        <v>181.63466740821644</v>
      </c>
    </row>
    <row r="20" spans="1:4" x14ac:dyDescent="0.3">
      <c r="A20" t="s">
        <v>81</v>
      </c>
      <c r="B20" s="3">
        <f>B6+B16</f>
        <v>22.682268226822682</v>
      </c>
      <c r="C20" s="3">
        <f t="shared" ref="C20:D20" si="1">C6+C16</f>
        <v>48.673636363636362</v>
      </c>
      <c r="D20" s="3">
        <f t="shared" si="1"/>
        <v>66.688870523415986</v>
      </c>
    </row>
    <row r="21" spans="1:4" x14ac:dyDescent="0.3">
      <c r="A21" t="s">
        <v>25</v>
      </c>
      <c r="B21" s="3">
        <f>B2-D15</f>
        <v>6.1104804407713491</v>
      </c>
      <c r="C21" s="3">
        <f>C2-C15</f>
        <v>9.0536363636363646</v>
      </c>
      <c r="D21" s="3">
        <f>D2-B15</f>
        <v>11.956436831683169</v>
      </c>
    </row>
    <row r="22" spans="1:4" x14ac:dyDescent="0.3">
      <c r="A22" t="s">
        <v>13</v>
      </c>
      <c r="B22" s="3">
        <f>B21*(B16+B6)/1000</f>
        <v>0.13859955635232946</v>
      </c>
      <c r="C22" s="3">
        <f>C21*(C16+C6)/1000</f>
        <v>0.44067340413223144</v>
      </c>
      <c r="D22" s="3">
        <f>D21*(D16+D6)/1000</f>
        <v>0.79736126778952088</v>
      </c>
    </row>
    <row r="23" spans="1:4" x14ac:dyDescent="0.3">
      <c r="A23" s="9" t="s">
        <v>17</v>
      </c>
      <c r="B23" s="10">
        <f>B22*$G$2+$H$2</f>
        <v>46.929977817616475</v>
      </c>
      <c r="C23" s="10">
        <f>C22*$G$2+$H$2</f>
        <v>62.033670206611575</v>
      </c>
      <c r="D23" s="10">
        <f>D22*$G$2+$H$2</f>
        <v>79.868063389476049</v>
      </c>
    </row>
    <row r="25" spans="1:4" x14ac:dyDescent="0.3">
      <c r="A25" s="4"/>
    </row>
    <row r="26" spans="1:4" x14ac:dyDescent="0.3">
      <c r="B26" s="3"/>
      <c r="C26" s="3"/>
      <c r="D26" s="3"/>
    </row>
    <row r="27" spans="1:4" x14ac:dyDescent="0.3">
      <c r="B27" s="3"/>
      <c r="C27" s="3"/>
      <c r="D27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E9C3-F21D-4156-8819-A6457D9A08EB}">
  <dimension ref="A1:K26"/>
  <sheetViews>
    <sheetView workbookViewId="0">
      <selection activeCell="C21" sqref="C21"/>
    </sheetView>
  </sheetViews>
  <sheetFormatPr defaultRowHeight="14.4" x14ac:dyDescent="0.3"/>
  <cols>
    <col min="1" max="1" width="16.6640625" customWidth="1"/>
    <col min="2" max="4" width="9.109375" style="2"/>
    <col min="6" max="6" width="10.33203125" customWidth="1"/>
    <col min="7" max="7" width="13.44140625" customWidth="1"/>
    <col min="8" max="8" width="9.109375" customWidth="1"/>
    <col min="9" max="9" width="9.109375" style="1" customWidth="1"/>
    <col min="10" max="10" width="21.5546875" customWidth="1"/>
    <col min="11" max="11" width="9.109375" style="2" customWidth="1"/>
  </cols>
  <sheetData>
    <row r="1" spans="1:11" x14ac:dyDescent="0.3">
      <c r="B1" s="2" t="s">
        <v>1</v>
      </c>
      <c r="C1" s="2" t="s">
        <v>8</v>
      </c>
      <c r="D1" s="2" t="s">
        <v>2</v>
      </c>
      <c r="F1" s="2" t="s">
        <v>14</v>
      </c>
      <c r="G1" s="2" t="s">
        <v>16</v>
      </c>
      <c r="H1" s="2" t="s">
        <v>18</v>
      </c>
      <c r="I1" s="2"/>
      <c r="J1" s="2" t="s">
        <v>21</v>
      </c>
    </row>
    <row r="2" spans="1:11" x14ac:dyDescent="0.3">
      <c r="A2" t="s">
        <v>9</v>
      </c>
      <c r="B2" s="28">
        <f>'+15V power supply LM317'!B15</f>
        <v>14.043563168316831</v>
      </c>
      <c r="C2" s="28">
        <f>'+15V power supply LM317'!C15</f>
        <v>14.946363636363635</v>
      </c>
      <c r="D2" s="28">
        <f>'+15V power supply LM317'!D15</f>
        <v>15.889519559228651</v>
      </c>
      <c r="F2" s="1" t="s">
        <v>30</v>
      </c>
      <c r="G2" s="2">
        <v>50</v>
      </c>
      <c r="H2" s="2">
        <v>40</v>
      </c>
      <c r="I2" s="2"/>
      <c r="J2" s="2">
        <v>1</v>
      </c>
    </row>
    <row r="3" spans="1:11" x14ac:dyDescent="0.3">
      <c r="A3" s="29" t="s">
        <v>29</v>
      </c>
      <c r="B3" s="25">
        <v>3.3</v>
      </c>
      <c r="C3" s="25">
        <v>3.3</v>
      </c>
      <c r="D3" s="25">
        <v>3.3</v>
      </c>
      <c r="I3" s="2"/>
    </row>
    <row r="4" spans="1:11" x14ac:dyDescent="0.3">
      <c r="A4" t="s">
        <v>80</v>
      </c>
      <c r="B4" s="28">
        <v>0</v>
      </c>
      <c r="C4" s="28">
        <v>15</v>
      </c>
      <c r="D4" s="28">
        <v>25</v>
      </c>
      <c r="F4" s="27" t="s">
        <v>65</v>
      </c>
      <c r="G4" t="s">
        <v>67</v>
      </c>
      <c r="I4" s="5"/>
      <c r="K4" s="1"/>
    </row>
    <row r="5" spans="1:11" x14ac:dyDescent="0.3">
      <c r="A5" t="s">
        <v>69</v>
      </c>
      <c r="B5" s="35">
        <f>B4</f>
        <v>0</v>
      </c>
      <c r="C5" s="35">
        <f>C4</f>
        <v>15</v>
      </c>
      <c r="D5" s="35">
        <f>D4</f>
        <v>25</v>
      </c>
      <c r="F5" s="2" t="s">
        <v>65</v>
      </c>
      <c r="G5" t="s">
        <v>66</v>
      </c>
      <c r="I5" s="5"/>
      <c r="K5" s="1"/>
    </row>
    <row r="6" spans="1:11" x14ac:dyDescent="0.3">
      <c r="F6" s="29"/>
      <c r="G6" t="s">
        <v>7</v>
      </c>
      <c r="I6" s="2"/>
    </row>
    <row r="7" spans="1:11" x14ac:dyDescent="0.3">
      <c r="A7" t="s">
        <v>19</v>
      </c>
      <c r="B7" s="2">
        <v>1.2</v>
      </c>
      <c r="C7" s="2">
        <v>1.25</v>
      </c>
      <c r="D7" s="2">
        <v>1.3</v>
      </c>
      <c r="F7" s="20"/>
      <c r="G7" t="s">
        <v>68</v>
      </c>
      <c r="I7" s="5"/>
    </row>
    <row r="8" spans="1:11" x14ac:dyDescent="0.3">
      <c r="A8" t="s">
        <v>31</v>
      </c>
      <c r="B8" s="2">
        <v>10</v>
      </c>
      <c r="C8" s="2">
        <v>50</v>
      </c>
      <c r="D8" s="2">
        <v>100</v>
      </c>
      <c r="F8" s="6"/>
      <c r="G8" t="s">
        <v>63</v>
      </c>
    </row>
    <row r="9" spans="1:11" x14ac:dyDescent="0.3">
      <c r="A9" s="29" t="s">
        <v>33</v>
      </c>
      <c r="B9" s="25">
        <v>10</v>
      </c>
      <c r="C9" s="25">
        <v>10</v>
      </c>
      <c r="D9" s="25">
        <v>10</v>
      </c>
      <c r="F9" s="9"/>
      <c r="G9" t="s">
        <v>64</v>
      </c>
    </row>
    <row r="10" spans="1:11" x14ac:dyDescent="0.3">
      <c r="A10" s="29" t="s">
        <v>36</v>
      </c>
      <c r="B10" s="31">
        <f>B7/D9*1000</f>
        <v>120</v>
      </c>
      <c r="C10" s="31">
        <f>C7/C9*1000</f>
        <v>125</v>
      </c>
      <c r="D10" s="31">
        <f>D7/B9*1000</f>
        <v>130</v>
      </c>
    </row>
    <row r="11" spans="1:11" x14ac:dyDescent="0.3">
      <c r="A11" s="20" t="s">
        <v>37</v>
      </c>
      <c r="B11" s="23">
        <f>C11-($J$2/100*C11)</f>
        <v>99</v>
      </c>
      <c r="C11" s="24">
        <v>100</v>
      </c>
      <c r="D11" s="23">
        <f>C11+($J$2/100*C11)</f>
        <v>101</v>
      </c>
    </row>
    <row r="12" spans="1:11" x14ac:dyDescent="0.3">
      <c r="A12" s="29" t="s">
        <v>38</v>
      </c>
      <c r="B12" s="31">
        <f>(B3-D7)/(D7/(B11)+D8/1000000)</f>
        <v>151.15657683792654</v>
      </c>
      <c r="C12" s="31">
        <f>(C3-C7)/(C7/(C11)+C8/1000000)</f>
        <v>163.34661354581672</v>
      </c>
      <c r="D12" s="31">
        <f>(D3-B7)/(B7/(D11)+B8/1000000)</f>
        <v>176.60136052156099</v>
      </c>
    </row>
    <row r="13" spans="1:11" x14ac:dyDescent="0.3">
      <c r="A13" s="20" t="s">
        <v>39</v>
      </c>
      <c r="B13" s="32">
        <f>C13-($J$2/100*C13)</f>
        <v>163.35</v>
      </c>
      <c r="C13" s="24">
        <v>165</v>
      </c>
      <c r="D13" s="32">
        <f>C13+($J$2/100*C13)</f>
        <v>166.65</v>
      </c>
    </row>
    <row r="14" spans="1:11" x14ac:dyDescent="0.3">
      <c r="A14" s="17" t="s">
        <v>10</v>
      </c>
      <c r="B14" s="7">
        <f>B7*(1+B13/D11)+(B8/1000000*B13)</f>
        <v>3.1424255792079205</v>
      </c>
      <c r="C14" s="7">
        <f>C7*(1+C13/C11)+(C8/1000000*C13)</f>
        <v>3.3207499999999999</v>
      </c>
      <c r="D14" s="7">
        <f>D7*(1+D13/B11)+(D8/1000000*D13)</f>
        <v>3.5049983333333339</v>
      </c>
    </row>
    <row r="15" spans="1:11" x14ac:dyDescent="0.3">
      <c r="A15" t="s">
        <v>32</v>
      </c>
      <c r="B15" s="3">
        <f>B7/D11*1000</f>
        <v>11.881188118811881</v>
      </c>
      <c r="C15" s="3">
        <f>C7/C11*1000</f>
        <v>12.5</v>
      </c>
      <c r="D15" s="3">
        <f>D7/B11*1000</f>
        <v>13.131313131313133</v>
      </c>
    </row>
    <row r="16" spans="1:11" x14ac:dyDescent="0.3">
      <c r="A16" s="20" t="s">
        <v>35</v>
      </c>
      <c r="B16" s="32">
        <f>POWER(B15, 2)*B11/1000</f>
        <v>13.975100480345063</v>
      </c>
      <c r="C16" s="32">
        <f t="shared" ref="C16:D16" si="0">POWER(C15, 2)*C11/1000</f>
        <v>15.625</v>
      </c>
      <c r="D16" s="32">
        <f t="shared" si="0"/>
        <v>17.415569839812271</v>
      </c>
    </row>
    <row r="17" spans="1:4" x14ac:dyDescent="0.3">
      <c r="A17" s="20" t="s">
        <v>34</v>
      </c>
      <c r="B17" s="32">
        <f>POWER((B14-D7), 2)/D13*1000</f>
        <v>20.36922901241909</v>
      </c>
      <c r="C17" s="32">
        <f>POWER((C14-C7), 2)/C13*1000</f>
        <v>25.987912499999997</v>
      </c>
      <c r="D17" s="32">
        <f>POWER((D14-B7), 2)/B13*1000</f>
        <v>32.525358534860402</v>
      </c>
    </row>
    <row r="19" spans="1:4" x14ac:dyDescent="0.3">
      <c r="A19" t="s">
        <v>81</v>
      </c>
      <c r="B19" s="3">
        <f>B5+B15</f>
        <v>11.881188118811881</v>
      </c>
      <c r="C19" s="3">
        <f t="shared" ref="C19:D19" si="1">C5+C15</f>
        <v>27.5</v>
      </c>
      <c r="D19" s="3">
        <f t="shared" si="1"/>
        <v>38.131313131313135</v>
      </c>
    </row>
    <row r="20" spans="1:4" x14ac:dyDescent="0.3">
      <c r="A20" t="s">
        <v>25</v>
      </c>
      <c r="B20" s="3">
        <f>B2-D14</f>
        <v>10.538564834983497</v>
      </c>
      <c r="C20" s="3">
        <f>C2-C14</f>
        <v>11.625613636363635</v>
      </c>
      <c r="D20" s="3">
        <f>D2-B14</f>
        <v>12.747093980020731</v>
      </c>
    </row>
    <row r="21" spans="1:4" x14ac:dyDescent="0.3">
      <c r="A21" t="s">
        <v>13</v>
      </c>
      <c r="B21" s="3">
        <f>B20*(B15+B5)/1000</f>
        <v>0.12521067130673461</v>
      </c>
      <c r="C21" s="3">
        <f>C20*(C15+C5)/1000</f>
        <v>0.31970437499999999</v>
      </c>
      <c r="D21" s="3">
        <f>D20*(D15+D5)/1000</f>
        <v>0.48606343206644709</v>
      </c>
    </row>
    <row r="22" spans="1:4" x14ac:dyDescent="0.3">
      <c r="A22" s="9" t="s">
        <v>17</v>
      </c>
      <c r="B22" s="10">
        <f>B21*$G$2+$H$2</f>
        <v>46.260533565336729</v>
      </c>
      <c r="C22" s="10">
        <f>C21*$G$2+$H$2</f>
        <v>55.985218750000001</v>
      </c>
      <c r="D22" s="10">
        <f>D21*$G$2+$H$2</f>
        <v>64.303171603322355</v>
      </c>
    </row>
    <row r="24" spans="1:4" x14ac:dyDescent="0.3">
      <c r="A24" s="4"/>
    </row>
    <row r="25" spans="1:4" x14ac:dyDescent="0.3">
      <c r="B25" s="3"/>
      <c r="C25" s="3"/>
      <c r="D25" s="3"/>
    </row>
    <row r="26" spans="1:4" x14ac:dyDescent="0.3">
      <c r="B26" s="3"/>
      <c r="C26" s="3"/>
      <c r="D26" s="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B513-6AED-4509-AC16-F31D3E936A65}">
  <dimension ref="A1:H37"/>
  <sheetViews>
    <sheetView topLeftCell="A11" workbookViewId="0">
      <selection activeCell="J28" sqref="J28"/>
    </sheetView>
  </sheetViews>
  <sheetFormatPr defaultRowHeight="14.4" x14ac:dyDescent="0.3"/>
  <cols>
    <col min="1" max="1" width="23.6640625" customWidth="1"/>
    <col min="6" max="6" width="12.33203125" customWidth="1"/>
    <col min="7" max="7" width="9.109375" customWidth="1"/>
    <col min="8" max="8" width="22" customWidth="1"/>
  </cols>
  <sheetData>
    <row r="1" spans="1:8" x14ac:dyDescent="0.3">
      <c r="B1" s="2" t="s">
        <v>1</v>
      </c>
      <c r="C1" s="2" t="s">
        <v>8</v>
      </c>
      <c r="D1" s="2" t="s">
        <v>2</v>
      </c>
      <c r="F1" s="2" t="s">
        <v>18</v>
      </c>
      <c r="G1" s="2"/>
      <c r="H1" s="2" t="s">
        <v>21</v>
      </c>
    </row>
    <row r="2" spans="1:8" x14ac:dyDescent="0.3">
      <c r="A2" s="38" t="s">
        <v>74</v>
      </c>
      <c r="B2" s="38"/>
      <c r="C2" s="38"/>
      <c r="D2" s="38"/>
      <c r="F2" s="2">
        <v>40</v>
      </c>
      <c r="H2" s="14">
        <v>0.01</v>
      </c>
    </row>
    <row r="3" spans="1:8" x14ac:dyDescent="0.3">
      <c r="A3" t="s">
        <v>54</v>
      </c>
      <c r="B3" s="12">
        <f>C3-$H$2*C3</f>
        <v>0.14849999999999999</v>
      </c>
      <c r="C3" s="12">
        <v>0.15</v>
      </c>
      <c r="D3" s="12">
        <f>C3+$H$2*C3</f>
        <v>0.1515</v>
      </c>
    </row>
    <row r="4" spans="1:8" x14ac:dyDescent="0.3">
      <c r="A4" t="s">
        <v>48</v>
      </c>
      <c r="B4" s="8">
        <v>4</v>
      </c>
      <c r="C4" s="8">
        <v>4.17</v>
      </c>
      <c r="D4" s="8">
        <v>10</v>
      </c>
    </row>
    <row r="5" spans="1:8" x14ac:dyDescent="0.3">
      <c r="A5" t="s">
        <v>51</v>
      </c>
      <c r="B5" s="8" t="s">
        <v>11</v>
      </c>
      <c r="C5" s="8">
        <v>1000</v>
      </c>
      <c r="D5" s="8" t="s">
        <v>11</v>
      </c>
    </row>
    <row r="6" spans="1:8" x14ac:dyDescent="0.3">
      <c r="A6" t="s">
        <v>52</v>
      </c>
      <c r="B6" s="2" t="s">
        <v>11</v>
      </c>
      <c r="C6" s="3">
        <f>C5/645.16</f>
        <v>1.5500031000062</v>
      </c>
      <c r="D6" s="2" t="s">
        <v>11</v>
      </c>
    </row>
    <row r="7" spans="1:8" x14ac:dyDescent="0.3">
      <c r="A7" t="s">
        <v>57</v>
      </c>
      <c r="B7" s="15" t="s">
        <v>11</v>
      </c>
      <c r="C7" s="16">
        <v>125</v>
      </c>
      <c r="D7" s="15" t="s">
        <v>11</v>
      </c>
    </row>
    <row r="8" spans="1:8" x14ac:dyDescent="0.3">
      <c r="A8" t="s">
        <v>50</v>
      </c>
      <c r="B8" s="11">
        <f>POWER(B4/5,2)*B3</f>
        <v>9.5040000000000013E-2</v>
      </c>
      <c r="C8" s="11">
        <f>POWER(C4/5,2)*C3</f>
        <v>0.10433339999999999</v>
      </c>
      <c r="D8" s="11">
        <f>POWER(D4/5,2)*D3</f>
        <v>0.60599999999999998</v>
      </c>
    </row>
    <row r="9" spans="1:8" x14ac:dyDescent="0.3">
      <c r="A9" s="9" t="s">
        <v>49</v>
      </c>
      <c r="B9" s="10">
        <f>$F$2+($C$7/$C$6*B8)</f>
        <v>47.664500799999999</v>
      </c>
      <c r="C9" s="10">
        <f>$F$2+($C$7/$C$6*C8)</f>
        <v>48.413967043</v>
      </c>
      <c r="D9" s="10">
        <f>$F$2+($C$7/$C$6*D8)</f>
        <v>88.870869999999996</v>
      </c>
    </row>
    <row r="11" spans="1:8" x14ac:dyDescent="0.3">
      <c r="A11" s="38" t="s">
        <v>55</v>
      </c>
      <c r="B11" s="38"/>
      <c r="C11" s="38"/>
      <c r="D11" s="38"/>
    </row>
    <row r="12" spans="1:8" x14ac:dyDescent="0.3">
      <c r="A12" t="s">
        <v>47</v>
      </c>
      <c r="B12" s="8" t="s">
        <v>11</v>
      </c>
      <c r="C12" s="8">
        <v>2</v>
      </c>
      <c r="D12" s="8">
        <v>3.7</v>
      </c>
    </row>
    <row r="13" spans="1:8" x14ac:dyDescent="0.3">
      <c r="A13" t="s">
        <v>48</v>
      </c>
      <c r="B13" s="8">
        <v>4</v>
      </c>
      <c r="C13" s="8">
        <v>4.17</v>
      </c>
      <c r="D13" s="8">
        <v>10</v>
      </c>
    </row>
    <row r="14" spans="1:8" x14ac:dyDescent="0.3">
      <c r="A14" t="s">
        <v>53</v>
      </c>
      <c r="B14" s="8" t="s">
        <v>11</v>
      </c>
      <c r="C14" s="8">
        <v>0.5</v>
      </c>
      <c r="D14" s="8">
        <v>1.1499999999999999</v>
      </c>
    </row>
    <row r="15" spans="1:8" x14ac:dyDescent="0.3">
      <c r="A15" t="s">
        <v>51</v>
      </c>
      <c r="B15" s="8" t="s">
        <v>11</v>
      </c>
      <c r="C15" s="8">
        <v>1000</v>
      </c>
      <c r="D15" s="8" t="s">
        <v>11</v>
      </c>
    </row>
    <row r="16" spans="1:8" x14ac:dyDescent="0.3">
      <c r="A16" t="s">
        <v>52</v>
      </c>
      <c r="B16" s="3" t="s">
        <v>11</v>
      </c>
      <c r="C16" s="3">
        <f>C15/645.16</f>
        <v>1.5500031000062</v>
      </c>
      <c r="D16" s="3" t="s">
        <v>11</v>
      </c>
    </row>
    <row r="17" spans="1:4" x14ac:dyDescent="0.3">
      <c r="A17" t="s">
        <v>50</v>
      </c>
      <c r="B17" s="11" t="s">
        <v>11</v>
      </c>
      <c r="C17" s="11">
        <f>C12*POWER(C13,2)/1000</f>
        <v>3.4777799999999998E-2</v>
      </c>
      <c r="D17" s="11">
        <f>D12*POWER(D13,2)/1000</f>
        <v>0.37</v>
      </c>
    </row>
    <row r="18" spans="1:4" x14ac:dyDescent="0.3">
      <c r="A18" s="9" t="s">
        <v>49</v>
      </c>
      <c r="B18" s="10" t="s">
        <v>11</v>
      </c>
      <c r="C18" s="10">
        <f>$F$2+(($C$7/$C$16+C14)*C17)</f>
        <v>42.822044581</v>
      </c>
      <c r="D18" s="10">
        <f>$F$2+(($C$7/$C$16+D14)*D17)</f>
        <v>70.264150000000001</v>
      </c>
    </row>
    <row r="20" spans="1:4" x14ac:dyDescent="0.3">
      <c r="A20" s="38" t="s">
        <v>56</v>
      </c>
      <c r="B20" s="38"/>
      <c r="C20" s="38"/>
      <c r="D20" s="38"/>
    </row>
    <row r="21" spans="1:4" x14ac:dyDescent="0.3">
      <c r="A21" t="s">
        <v>47</v>
      </c>
      <c r="B21" s="8" t="s">
        <v>11</v>
      </c>
      <c r="C21" s="8">
        <v>2</v>
      </c>
      <c r="D21" s="8">
        <v>3.7</v>
      </c>
    </row>
    <row r="22" spans="1:4" x14ac:dyDescent="0.3">
      <c r="A22" t="s">
        <v>48</v>
      </c>
      <c r="B22" s="8">
        <v>4</v>
      </c>
      <c r="C22" s="8">
        <v>4.17</v>
      </c>
      <c r="D22" s="8">
        <v>10</v>
      </c>
    </row>
    <row r="23" spans="1:4" x14ac:dyDescent="0.3">
      <c r="A23" t="s">
        <v>53</v>
      </c>
      <c r="B23" s="8" t="s">
        <v>11</v>
      </c>
      <c r="C23" s="8">
        <v>0.5</v>
      </c>
      <c r="D23" s="8">
        <v>1.1499999999999999</v>
      </c>
    </row>
    <row r="24" spans="1:4" x14ac:dyDescent="0.3">
      <c r="A24" t="s">
        <v>51</v>
      </c>
      <c r="B24" s="8" t="s">
        <v>11</v>
      </c>
      <c r="C24" s="8">
        <v>900</v>
      </c>
      <c r="D24" s="8" t="s">
        <v>11</v>
      </c>
    </row>
    <row r="25" spans="1:4" x14ac:dyDescent="0.3">
      <c r="A25" t="s">
        <v>52</v>
      </c>
      <c r="B25" s="8" t="s">
        <v>11</v>
      </c>
      <c r="C25" s="13">
        <f>C24/645.16</f>
        <v>1.3950027900055801</v>
      </c>
      <c r="D25" s="8" t="s">
        <v>11</v>
      </c>
    </row>
    <row r="26" spans="1:4" x14ac:dyDescent="0.3">
      <c r="A26" t="s">
        <v>50</v>
      </c>
      <c r="B26" s="11" t="s">
        <v>11</v>
      </c>
      <c r="C26" s="11">
        <f>C21*POWER(C22,2)/1000</f>
        <v>3.4777799999999998E-2</v>
      </c>
      <c r="D26" s="11">
        <f>D21*POWER(D22,2)/1000</f>
        <v>0.37</v>
      </c>
    </row>
    <row r="27" spans="1:4" x14ac:dyDescent="0.3">
      <c r="A27" s="9" t="s">
        <v>49</v>
      </c>
      <c r="B27" s="10" t="s">
        <v>11</v>
      </c>
      <c r="C27" s="10">
        <f>$F$2+(($C$7/$C$25+$D$23)*C26)</f>
        <v>43.156278559999997</v>
      </c>
      <c r="D27" s="10">
        <f>$F$2+(($C$7/$C$25+$D$23)*D26)</f>
        <v>73.579555555555558</v>
      </c>
    </row>
    <row r="29" spans="1:4" x14ac:dyDescent="0.3">
      <c r="A29" s="38" t="s">
        <v>73</v>
      </c>
      <c r="B29" s="38"/>
      <c r="C29" s="38"/>
      <c r="D29" s="38"/>
    </row>
    <row r="30" spans="1:4" x14ac:dyDescent="0.3">
      <c r="A30" t="s">
        <v>54</v>
      </c>
      <c r="B30" s="12">
        <f>C30-$H$2*C30</f>
        <v>4.9500000000000004E-3</v>
      </c>
      <c r="C30" s="12">
        <v>5.0000000000000001E-3</v>
      </c>
      <c r="D30" s="12">
        <f>C30+$H$2*C30</f>
        <v>5.0499999999999998E-3</v>
      </c>
    </row>
    <row r="31" spans="1:4" x14ac:dyDescent="0.3">
      <c r="A31" t="s">
        <v>48</v>
      </c>
      <c r="B31" s="8">
        <v>4</v>
      </c>
      <c r="C31" s="8">
        <v>4.17</v>
      </c>
      <c r="D31" s="8">
        <v>10</v>
      </c>
    </row>
    <row r="32" spans="1:4" x14ac:dyDescent="0.3">
      <c r="A32" t="s">
        <v>51</v>
      </c>
      <c r="B32" s="8" t="s">
        <v>11</v>
      </c>
      <c r="C32" s="8">
        <v>550</v>
      </c>
      <c r="D32" s="8" t="s">
        <v>11</v>
      </c>
    </row>
    <row r="33" spans="1:4" x14ac:dyDescent="0.3">
      <c r="A33" t="s">
        <v>52</v>
      </c>
      <c r="B33" s="2" t="s">
        <v>11</v>
      </c>
      <c r="C33" s="3">
        <f>C32/645.16</f>
        <v>0.85250170500341005</v>
      </c>
      <c r="D33" s="2" t="s">
        <v>11</v>
      </c>
    </row>
    <row r="34" spans="1:4" x14ac:dyDescent="0.3">
      <c r="A34" t="s">
        <v>50</v>
      </c>
      <c r="B34" s="11">
        <f>POWER(B31,2)*B30</f>
        <v>7.9200000000000007E-2</v>
      </c>
      <c r="C34" s="11">
        <f>POWER(C31,2)*C30</f>
        <v>8.6944499999999994E-2</v>
      </c>
      <c r="D34" s="11">
        <f>POWER(D31,2)*D30</f>
        <v>0.505</v>
      </c>
    </row>
    <row r="35" spans="1:4" x14ac:dyDescent="0.3">
      <c r="A35" s="9" t="s">
        <v>49</v>
      </c>
      <c r="B35" s="10">
        <f>$F$2+($C$7/$C$33*B34)</f>
        <v>51.612880000000004</v>
      </c>
      <c r="C35" s="10">
        <f>$F$2+($C$7/$C$33*C34)</f>
        <v>52.748434913636359</v>
      </c>
      <c r="D35" s="10">
        <f>$F$2+($C$7/$C$33*D34)</f>
        <v>114.04677272727272</v>
      </c>
    </row>
    <row r="37" spans="1:4" x14ac:dyDescent="0.3">
      <c r="A37" s="20" t="s">
        <v>82</v>
      </c>
      <c r="B37" s="36"/>
      <c r="C37" s="36">
        <f>5*C8+6*C17+C26+C34+'+15V power supply LM317'!$C$22+'+3.3V power supply LM317'!C21</f>
        <v>1.6124338791322312</v>
      </c>
      <c r="D37" s="36"/>
    </row>
  </sheetData>
  <mergeCells count="4">
    <mergeCell ref="A2:D2"/>
    <mergeCell ref="A11:D11"/>
    <mergeCell ref="A20:D20"/>
    <mergeCell ref="A29:D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1643-5616-42FB-93C8-C839C1397AF1}">
  <dimension ref="A1:J25"/>
  <sheetViews>
    <sheetView workbookViewId="0">
      <selection activeCell="G35" sqref="G35"/>
    </sheetView>
  </sheetViews>
  <sheetFormatPr defaultRowHeight="14.4" x14ac:dyDescent="0.3"/>
  <cols>
    <col min="1" max="1" width="16.6640625" customWidth="1"/>
    <col min="2" max="4" width="9.109375" style="2"/>
    <col min="6" max="6" width="10.33203125" customWidth="1"/>
    <col min="7" max="7" width="13.44140625" customWidth="1"/>
    <col min="10" max="10" width="21.5546875" style="2" customWidth="1"/>
  </cols>
  <sheetData>
    <row r="1" spans="1:10" x14ac:dyDescent="0.3">
      <c r="B1" s="2" t="s">
        <v>1</v>
      </c>
      <c r="C1" s="2" t="s">
        <v>8</v>
      </c>
      <c r="D1" s="2" t="s">
        <v>2</v>
      </c>
      <c r="F1" s="2" t="s">
        <v>14</v>
      </c>
      <c r="G1" s="2" t="s">
        <v>16</v>
      </c>
      <c r="H1" s="2" t="s">
        <v>18</v>
      </c>
      <c r="J1" s="2" t="s">
        <v>21</v>
      </c>
    </row>
    <row r="2" spans="1:10" x14ac:dyDescent="0.3">
      <c r="A2" t="s">
        <v>9</v>
      </c>
      <c r="B2" s="26">
        <v>22</v>
      </c>
      <c r="C2" s="26">
        <v>24</v>
      </c>
      <c r="D2" s="26">
        <v>26</v>
      </c>
      <c r="F2" s="1" t="s">
        <v>15</v>
      </c>
      <c r="G2" s="2">
        <v>97</v>
      </c>
      <c r="H2" s="2">
        <v>40</v>
      </c>
      <c r="J2" s="2">
        <v>1</v>
      </c>
    </row>
    <row r="3" spans="1:10" x14ac:dyDescent="0.3">
      <c r="A3" s="29" t="s">
        <v>29</v>
      </c>
      <c r="B3" s="25">
        <v>15</v>
      </c>
      <c r="C3" s="25">
        <v>15</v>
      </c>
      <c r="D3" s="25">
        <v>15</v>
      </c>
    </row>
    <row r="4" spans="1:10" x14ac:dyDescent="0.3">
      <c r="A4" t="s">
        <v>69</v>
      </c>
      <c r="B4" s="28">
        <v>0</v>
      </c>
      <c r="C4" s="28">
        <v>10</v>
      </c>
      <c r="D4" s="27">
        <v>16.62</v>
      </c>
      <c r="F4" s="27" t="s">
        <v>65</v>
      </c>
      <c r="G4" t="s">
        <v>67</v>
      </c>
    </row>
    <row r="5" spans="1:10" x14ac:dyDescent="0.3">
      <c r="A5" s="29" t="s">
        <v>62</v>
      </c>
      <c r="B5" s="13">
        <f>B4</f>
        <v>0</v>
      </c>
      <c r="C5" s="13">
        <f>C4</f>
        <v>10</v>
      </c>
      <c r="D5" s="13">
        <f>D4</f>
        <v>16.62</v>
      </c>
      <c r="F5" s="2" t="s">
        <v>65</v>
      </c>
      <c r="G5" t="s">
        <v>66</v>
      </c>
      <c r="J5" s="1"/>
    </row>
    <row r="6" spans="1:10" x14ac:dyDescent="0.3">
      <c r="F6" s="29"/>
      <c r="G6" t="s">
        <v>7</v>
      </c>
    </row>
    <row r="7" spans="1:10" x14ac:dyDescent="0.3">
      <c r="A7" t="s">
        <v>19</v>
      </c>
      <c r="B7" s="2">
        <v>2.44</v>
      </c>
      <c r="C7" s="2">
        <v>2.4950000000000001</v>
      </c>
      <c r="D7" s="2">
        <v>2.5499999999999998</v>
      </c>
      <c r="F7" s="20"/>
      <c r="G7" t="s">
        <v>68</v>
      </c>
    </row>
    <row r="8" spans="1:10" x14ac:dyDescent="0.3">
      <c r="A8" t="s">
        <v>20</v>
      </c>
      <c r="B8" s="2">
        <v>1</v>
      </c>
      <c r="C8" s="2">
        <v>2</v>
      </c>
      <c r="D8" s="2">
        <v>4</v>
      </c>
      <c r="F8" s="6"/>
      <c r="G8" t="s">
        <v>63</v>
      </c>
    </row>
    <row r="9" spans="1:10" x14ac:dyDescent="0.3">
      <c r="A9" s="29" t="s">
        <v>59</v>
      </c>
      <c r="B9" s="25">
        <v>0.1</v>
      </c>
      <c r="C9" s="25">
        <v>0.5</v>
      </c>
      <c r="D9" s="25">
        <v>1</v>
      </c>
      <c r="F9" s="9"/>
      <c r="G9" t="s">
        <v>64</v>
      </c>
    </row>
    <row r="10" spans="1:10" x14ac:dyDescent="0.3">
      <c r="A10" s="29" t="s">
        <v>60</v>
      </c>
      <c r="B10" s="8">
        <f>B7/B9</f>
        <v>24.4</v>
      </c>
      <c r="C10" s="13">
        <f>C7/C9</f>
        <v>4.99</v>
      </c>
      <c r="D10" s="8">
        <f>D7/D9</f>
        <v>2.5499999999999998</v>
      </c>
    </row>
    <row r="11" spans="1:10" x14ac:dyDescent="0.3">
      <c r="A11" s="20" t="s">
        <v>23</v>
      </c>
      <c r="B11" s="21">
        <f>C11-($J$2/100*C11)</f>
        <v>4.6530000000000005</v>
      </c>
      <c r="C11" s="24">
        <v>4.7</v>
      </c>
      <c r="D11" s="21">
        <f>C11+($J$2/100*C11)</f>
        <v>4.7469999999999999</v>
      </c>
    </row>
    <row r="12" spans="1:10" x14ac:dyDescent="0.3">
      <c r="A12" s="29" t="s">
        <v>58</v>
      </c>
      <c r="B12" s="13">
        <f>($C$3/D7-1)*B11</f>
        <v>22.717588235294123</v>
      </c>
      <c r="C12" s="13">
        <f>($C$3/C7-1)*C11</f>
        <v>23.556513026052105</v>
      </c>
      <c r="D12" s="13">
        <f>($C$3/B7-1)*D11</f>
        <v>24.435377049180328</v>
      </c>
    </row>
    <row r="13" spans="1:10" x14ac:dyDescent="0.3">
      <c r="A13" s="20" t="s">
        <v>22</v>
      </c>
      <c r="B13" s="21">
        <f>C13-($J$2/100*C13)</f>
        <v>23.265000000000001</v>
      </c>
      <c r="C13" s="24">
        <v>23.5</v>
      </c>
      <c r="D13" s="21">
        <f>C13+($J$2/100*C13)</f>
        <v>23.734999999999999</v>
      </c>
    </row>
    <row r="14" spans="1:10" x14ac:dyDescent="0.3">
      <c r="A14" s="18" t="s">
        <v>10</v>
      </c>
      <c r="B14" s="7">
        <f>(1+B13/D11)*B7+(B8*B13)/1000</f>
        <v>14.421680841584159</v>
      </c>
      <c r="C14" s="7">
        <f>(1+C13/C11)*C7+(C8*C13)/1000</f>
        <v>15.017000000000001</v>
      </c>
      <c r="D14" s="7">
        <f>(1+D13/B11)*D7+(D8*D13)/1000</f>
        <v>15.652515757575754</v>
      </c>
    </row>
    <row r="15" spans="1:10" x14ac:dyDescent="0.3">
      <c r="A15" t="s">
        <v>61</v>
      </c>
      <c r="B15" s="11">
        <f>B14/(D13+D11)</f>
        <v>0.50634368519009054</v>
      </c>
      <c r="C15" s="11">
        <f>C14/(C13+C11)</f>
        <v>0.53251773049645401</v>
      </c>
      <c r="D15" s="11">
        <f>D14/(B13+B11)</f>
        <v>0.56066035380671086</v>
      </c>
    </row>
    <row r="17" spans="1:4" x14ac:dyDescent="0.3">
      <c r="A17" t="s">
        <v>25</v>
      </c>
      <c r="B17" s="3">
        <f>B2-D14</f>
        <v>6.3474842424242457</v>
      </c>
      <c r="C17" s="2">
        <f>C2-C3</f>
        <v>9</v>
      </c>
      <c r="D17" s="3">
        <f>D2-B14</f>
        <v>11.578319158415841</v>
      </c>
    </row>
    <row r="18" spans="1:4" x14ac:dyDescent="0.3">
      <c r="A18" s="29" t="s">
        <v>27</v>
      </c>
      <c r="B18" s="13">
        <f>B17/D5*1000</f>
        <v>381.91842613864293</v>
      </c>
      <c r="C18" s="13">
        <f>C17/C5*1000</f>
        <v>900</v>
      </c>
      <c r="D18" s="13" t="str">
        <f>IF(B5&lt;=0, "∞", D17/B5*1000&lt;0)</f>
        <v>∞</v>
      </c>
    </row>
    <row r="19" spans="1:4" x14ac:dyDescent="0.3">
      <c r="A19" s="22" t="s">
        <v>26</v>
      </c>
      <c r="B19" s="23">
        <f>C19-($J$2/100*C19)</f>
        <v>386.1</v>
      </c>
      <c r="C19" s="24">
        <v>390</v>
      </c>
      <c r="D19" s="23">
        <f>C19+($J$2/100*C19)</f>
        <v>393.9</v>
      </c>
    </row>
    <row r="20" spans="1:4" x14ac:dyDescent="0.3">
      <c r="A20" t="s">
        <v>28</v>
      </c>
      <c r="B20" s="3">
        <f>B17/D19*1000</f>
        <v>16.114456060990722</v>
      </c>
      <c r="C20" s="3">
        <f>C17/C19*1000</f>
        <v>23.076923076923077</v>
      </c>
      <c r="D20" s="3">
        <f>D17/B19*1000</f>
        <v>29.987876608173632</v>
      </c>
    </row>
    <row r="21" spans="1:4" x14ac:dyDescent="0.3">
      <c r="A21" s="20" t="s">
        <v>24</v>
      </c>
      <c r="B21" s="21">
        <f>B19*POWER(B20, 2)/1000000</f>
        <v>0.10026078550807201</v>
      </c>
      <c r="C21" s="21">
        <f>C19*POWER(C20, 2)/1000000</f>
        <v>0.20769230769230768</v>
      </c>
      <c r="D21" s="21">
        <f>D19*POWER(D20, 2)/1000000</f>
        <v>0.35422353365166992</v>
      </c>
    </row>
    <row r="22" spans="1:4" x14ac:dyDescent="0.3">
      <c r="A22" s="6" t="s">
        <v>12</v>
      </c>
      <c r="B22" s="7">
        <f>B20-D15</f>
        <v>15.553795707184012</v>
      </c>
      <c r="C22" s="7">
        <f>C20-C15</f>
        <v>22.544405346426622</v>
      </c>
      <c r="D22" s="7">
        <f>D20-B15</f>
        <v>29.481532922983543</v>
      </c>
    </row>
    <row r="24" spans="1:4" x14ac:dyDescent="0.3">
      <c r="A24" t="s">
        <v>13</v>
      </c>
      <c r="B24" s="3">
        <f>B14*(IF(B22-D5&lt;0, 0, B22-D5))/1000</f>
        <v>0</v>
      </c>
      <c r="C24" s="3">
        <f>C14*(IF(C22-C5&lt;0, 0, C22-C5))/1000</f>
        <v>0.1883793350872886</v>
      </c>
      <c r="D24" s="3">
        <f>D14*(D22-B5)/1000</f>
        <v>0.4614601586344883</v>
      </c>
    </row>
    <row r="25" spans="1:4" x14ac:dyDescent="0.3">
      <c r="A25" s="19" t="s">
        <v>17</v>
      </c>
      <c r="B25" s="10">
        <f>B24*$G$2+$H$2</f>
        <v>40</v>
      </c>
      <c r="C25" s="10">
        <f>C24*$G$2+$H$2</f>
        <v>58.272795503466995</v>
      </c>
      <c r="D25" s="10">
        <f>D24*$G$2+$H$2</f>
        <v>84.761635387545368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CA8A-F672-402C-ABEA-CA3F1FB476B0}">
  <dimension ref="A1:J25"/>
  <sheetViews>
    <sheetView workbookViewId="0">
      <selection activeCell="G19" sqref="G19"/>
    </sheetView>
  </sheetViews>
  <sheetFormatPr defaultRowHeight="14.4" x14ac:dyDescent="0.3"/>
  <cols>
    <col min="1" max="1" width="16.6640625" customWidth="1"/>
    <col min="2" max="4" width="9.109375" style="2"/>
    <col min="6" max="6" width="10.33203125" customWidth="1"/>
    <col min="7" max="7" width="13.44140625" customWidth="1"/>
    <col min="10" max="10" width="21.5546875" style="2" customWidth="1"/>
  </cols>
  <sheetData>
    <row r="1" spans="1:10" x14ac:dyDescent="0.3">
      <c r="B1" s="2" t="s">
        <v>1</v>
      </c>
      <c r="C1" s="2" t="s">
        <v>8</v>
      </c>
      <c r="D1" s="2" t="s">
        <v>2</v>
      </c>
      <c r="F1" s="2" t="s">
        <v>14</v>
      </c>
      <c r="G1" s="2" t="s">
        <v>16</v>
      </c>
      <c r="H1" s="2" t="s">
        <v>18</v>
      </c>
      <c r="J1" s="2" t="s">
        <v>21</v>
      </c>
    </row>
    <row r="2" spans="1:10" x14ac:dyDescent="0.3">
      <c r="A2" t="s">
        <v>9</v>
      </c>
      <c r="B2" s="26">
        <v>22</v>
      </c>
      <c r="C2" s="26">
        <v>24</v>
      </c>
      <c r="D2" s="26">
        <v>26</v>
      </c>
      <c r="F2" s="1" t="s">
        <v>15</v>
      </c>
      <c r="G2" s="2">
        <v>97</v>
      </c>
      <c r="H2" s="2">
        <v>40</v>
      </c>
      <c r="J2" s="2">
        <v>1</v>
      </c>
    </row>
    <row r="3" spans="1:10" x14ac:dyDescent="0.3">
      <c r="A3" s="29" t="s">
        <v>29</v>
      </c>
      <c r="B3" s="25">
        <v>3.3</v>
      </c>
      <c r="C3" s="25">
        <v>3.3</v>
      </c>
      <c r="D3" s="25">
        <v>3.3</v>
      </c>
    </row>
    <row r="4" spans="1:10" x14ac:dyDescent="0.3">
      <c r="A4" t="s">
        <v>69</v>
      </c>
      <c r="B4" s="28">
        <v>0</v>
      </c>
      <c r="C4" s="28">
        <v>15</v>
      </c>
      <c r="D4" s="28">
        <v>25</v>
      </c>
      <c r="F4" s="27" t="s">
        <v>65</v>
      </c>
      <c r="G4" t="s">
        <v>67</v>
      </c>
    </row>
    <row r="5" spans="1:10" x14ac:dyDescent="0.3">
      <c r="A5" s="29" t="s">
        <v>62</v>
      </c>
      <c r="B5" s="13">
        <f>B4</f>
        <v>0</v>
      </c>
      <c r="C5" s="13">
        <f>C4</f>
        <v>15</v>
      </c>
      <c r="D5" s="13">
        <f>D4</f>
        <v>25</v>
      </c>
      <c r="F5" s="2" t="s">
        <v>65</v>
      </c>
      <c r="G5" t="s">
        <v>66</v>
      </c>
      <c r="J5" s="1"/>
    </row>
    <row r="6" spans="1:10" x14ac:dyDescent="0.3">
      <c r="F6" s="29"/>
      <c r="G6" t="s">
        <v>7</v>
      </c>
    </row>
    <row r="7" spans="1:10" x14ac:dyDescent="0.3">
      <c r="A7" t="s">
        <v>19</v>
      </c>
      <c r="B7" s="2">
        <v>2.44</v>
      </c>
      <c r="C7" s="2">
        <v>2.4950000000000001</v>
      </c>
      <c r="D7" s="2">
        <v>2.5499999999999998</v>
      </c>
      <c r="F7" s="20"/>
      <c r="G7" t="s">
        <v>68</v>
      </c>
    </row>
    <row r="8" spans="1:10" x14ac:dyDescent="0.3">
      <c r="A8" t="s">
        <v>20</v>
      </c>
      <c r="B8" s="2" t="s">
        <v>11</v>
      </c>
      <c r="C8" s="2">
        <v>2</v>
      </c>
      <c r="D8" s="2">
        <v>4</v>
      </c>
      <c r="F8" s="6"/>
      <c r="G8" t="s">
        <v>63</v>
      </c>
    </row>
    <row r="9" spans="1:10" x14ac:dyDescent="0.3">
      <c r="A9" s="29" t="s">
        <v>59</v>
      </c>
      <c r="B9" s="25">
        <v>0.1</v>
      </c>
      <c r="C9" s="25">
        <v>0.5</v>
      </c>
      <c r="D9" s="25">
        <v>1</v>
      </c>
      <c r="F9" s="9"/>
      <c r="G9" t="s">
        <v>64</v>
      </c>
    </row>
    <row r="10" spans="1:10" x14ac:dyDescent="0.3">
      <c r="A10" s="29" t="s">
        <v>60</v>
      </c>
      <c r="B10" s="8">
        <f>B7/B9</f>
        <v>24.4</v>
      </c>
      <c r="C10" s="13">
        <f>C7/C9</f>
        <v>4.99</v>
      </c>
      <c r="D10" s="8">
        <f>D7/D9</f>
        <v>2.5499999999999998</v>
      </c>
    </row>
    <row r="11" spans="1:10" x14ac:dyDescent="0.3">
      <c r="A11" s="20" t="s">
        <v>23</v>
      </c>
      <c r="B11" s="21">
        <f>C11-($J$2/100*C11)</f>
        <v>4.6530000000000005</v>
      </c>
      <c r="C11" s="24">
        <v>4.7</v>
      </c>
      <c r="D11" s="21">
        <f>C11+($J$2/100*C11)</f>
        <v>4.7469999999999999</v>
      </c>
    </row>
    <row r="12" spans="1:10" x14ac:dyDescent="0.3">
      <c r="A12" s="29" t="s">
        <v>58</v>
      </c>
      <c r="B12" s="13">
        <f>($C$3/D7-1)*B11</f>
        <v>1.3685294117647062</v>
      </c>
      <c r="C12" s="13">
        <f>($C$3/C7-1)*C11</f>
        <v>1.5164328657314619</v>
      </c>
      <c r="D12" s="13">
        <f>($C$3/B7-1)*D11</f>
        <v>1.6731229508196723</v>
      </c>
    </row>
    <row r="13" spans="1:10" x14ac:dyDescent="0.3">
      <c r="A13" s="20" t="s">
        <v>22</v>
      </c>
      <c r="B13" s="21">
        <f>C13-($J$2/100*C13)</f>
        <v>1.4850000000000001</v>
      </c>
      <c r="C13" s="24">
        <v>1.5</v>
      </c>
      <c r="D13" s="21">
        <f>C13+($J$2/100*C13)</f>
        <v>1.5149999999999999</v>
      </c>
    </row>
    <row r="14" spans="1:10" x14ac:dyDescent="0.3">
      <c r="A14" s="18" t="s">
        <v>10</v>
      </c>
      <c r="B14" s="7">
        <f>(1+B13/B11)*B7+(C8*B13)/1000</f>
        <v>3.2216934042553187</v>
      </c>
      <c r="C14" s="7">
        <f>(1+C13/C11)*C7+(C8*C13)/1000</f>
        <v>3.2942765957446807</v>
      </c>
      <c r="D14" s="7">
        <f>(1+D13/D11)*D7+(D8*D13)/1000</f>
        <v>3.3698897872340421</v>
      </c>
    </row>
    <row r="15" spans="1:10" x14ac:dyDescent="0.3">
      <c r="A15" t="s">
        <v>61</v>
      </c>
      <c r="B15" s="11">
        <f>B14/(D13+D11)</f>
        <v>0.51448313705770021</v>
      </c>
      <c r="C15" s="11">
        <f>C14/(C13+C11)</f>
        <v>0.53133493479752913</v>
      </c>
      <c r="D15" s="11">
        <f>D14/(B13+B11)</f>
        <v>0.54902081903454569</v>
      </c>
    </row>
    <row r="17" spans="1:4" x14ac:dyDescent="0.3">
      <c r="A17" t="s">
        <v>25</v>
      </c>
      <c r="B17" s="3">
        <f>B2-D14</f>
        <v>18.630110212765956</v>
      </c>
      <c r="C17" s="2">
        <f>C2-C3</f>
        <v>20.7</v>
      </c>
      <c r="D17" s="3">
        <f>D2-B14</f>
        <v>22.778306595744681</v>
      </c>
    </row>
    <row r="18" spans="1:4" x14ac:dyDescent="0.3">
      <c r="A18" s="29" t="s">
        <v>27</v>
      </c>
      <c r="B18" s="13">
        <f>B17/(D5*1.1)*1000</f>
        <v>677.45855319148916</v>
      </c>
      <c r="C18" s="13">
        <f>C17/C5*1000</f>
        <v>1380</v>
      </c>
      <c r="D18" s="13" t="str">
        <f>IF(B5&lt;=0, "∞", D17/B5*1000&lt;0)</f>
        <v>∞</v>
      </c>
    </row>
    <row r="19" spans="1:4" x14ac:dyDescent="0.3">
      <c r="A19" s="22" t="s">
        <v>26</v>
      </c>
      <c r="B19" s="23">
        <f>C19-($J$2/100*C19)</f>
        <v>495</v>
      </c>
      <c r="C19" s="24">
        <v>500</v>
      </c>
      <c r="D19" s="23">
        <f>C19+($J$2/100*C19)</f>
        <v>505</v>
      </c>
    </row>
    <row r="20" spans="1:4" x14ac:dyDescent="0.3">
      <c r="A20" t="s">
        <v>28</v>
      </c>
      <c r="B20" s="3">
        <f>B17/D19*1000</f>
        <v>36.891307352011793</v>
      </c>
      <c r="C20" s="3">
        <f>C17/C19*1000</f>
        <v>41.4</v>
      </c>
      <c r="D20" s="3">
        <f>D17/B19*1000</f>
        <v>46.016781001504405</v>
      </c>
    </row>
    <row r="21" spans="1:4" x14ac:dyDescent="0.3">
      <c r="A21" s="20" t="s">
        <v>24</v>
      </c>
      <c r="B21" s="21">
        <f>B19*POWER(B20, 2)/1000000</f>
        <v>0.67367943627959681</v>
      </c>
      <c r="C21" s="21">
        <f>C19*POWER(C20, 2)/1000000</f>
        <v>0.85697999999999985</v>
      </c>
      <c r="D21" s="21">
        <f>D19*POWER(D20, 2)/1000000</f>
        <v>1.0693597875389105</v>
      </c>
    </row>
    <row r="22" spans="1:4" x14ac:dyDescent="0.3">
      <c r="A22" s="6" t="s">
        <v>12</v>
      </c>
      <c r="B22" s="7">
        <f>B20-D15</f>
        <v>36.342286532977248</v>
      </c>
      <c r="C22" s="7">
        <f>C20-C15</f>
        <v>40.868665065202471</v>
      </c>
      <c r="D22" s="7">
        <f>D20-B15</f>
        <v>45.502297864446703</v>
      </c>
    </row>
    <row r="24" spans="1:4" x14ac:dyDescent="0.3">
      <c r="A24" t="s">
        <v>13</v>
      </c>
      <c r="B24" s="3">
        <f>B14*(IF(B22-D5&lt;0, 0, B22-D5))/1000</f>
        <v>3.6541369712466729E-2</v>
      </c>
      <c r="C24" s="3">
        <f>C14*(C22-C5)/1000</f>
        <v>8.5218537887454551E-2</v>
      </c>
      <c r="D24" s="3">
        <f>D14*(D22-B5)/1000</f>
        <v>0.15333772886908031</v>
      </c>
    </row>
    <row r="25" spans="1:4" x14ac:dyDescent="0.3">
      <c r="A25" s="19" t="s">
        <v>17</v>
      </c>
      <c r="B25" s="10">
        <f>B24*$G$2+$H$2</f>
        <v>43.544512862109272</v>
      </c>
      <c r="C25" s="10">
        <f>C24*$G$2+$H$2</f>
        <v>48.26619817508309</v>
      </c>
      <c r="D25" s="10">
        <f>D24*$G$2+$H$2</f>
        <v>54.873759700300795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6550-EC1C-4394-AF85-C4CEC96FAC1C}">
  <dimension ref="A1:D8"/>
  <sheetViews>
    <sheetView workbookViewId="0">
      <selection sqref="A1:D8"/>
    </sheetView>
  </sheetViews>
  <sheetFormatPr defaultRowHeight="14.4" x14ac:dyDescent="0.3"/>
  <cols>
    <col min="1" max="1" width="12.6640625" customWidth="1"/>
    <col min="2" max="4" width="9.109375" style="2"/>
  </cols>
  <sheetData>
    <row r="1" spans="1:4" x14ac:dyDescent="0.3">
      <c r="B1" s="2" t="s">
        <v>1</v>
      </c>
      <c r="C1" s="2" t="s">
        <v>8</v>
      </c>
      <c r="D1" s="2" t="s">
        <v>2</v>
      </c>
    </row>
    <row r="2" spans="1:4" x14ac:dyDescent="0.3">
      <c r="A2" t="s">
        <v>41</v>
      </c>
      <c r="B2" s="2" t="s">
        <v>11</v>
      </c>
      <c r="C2" s="8">
        <v>1.29</v>
      </c>
      <c r="D2" s="2" t="s">
        <v>11</v>
      </c>
    </row>
    <row r="3" spans="1:4" x14ac:dyDescent="0.3">
      <c r="A3" t="s">
        <v>42</v>
      </c>
      <c r="B3" s="2" t="s">
        <v>11</v>
      </c>
      <c r="C3" s="8">
        <v>-1.34</v>
      </c>
      <c r="D3" s="2" t="s">
        <v>11</v>
      </c>
    </row>
    <row r="4" spans="1:4" x14ac:dyDescent="0.3">
      <c r="A4" t="s">
        <v>43</v>
      </c>
      <c r="B4" s="8">
        <v>4</v>
      </c>
      <c r="C4" s="8">
        <v>4.17</v>
      </c>
      <c r="D4" s="8">
        <v>4.5</v>
      </c>
    </row>
    <row r="5" spans="1:4" x14ac:dyDescent="0.3">
      <c r="A5" t="s">
        <v>46</v>
      </c>
      <c r="B5" s="2" t="s">
        <v>11</v>
      </c>
      <c r="C5" s="8">
        <v>24</v>
      </c>
      <c r="D5" s="2" t="s">
        <v>11</v>
      </c>
    </row>
    <row r="6" spans="1:4" x14ac:dyDescent="0.3">
      <c r="A6" t="s">
        <v>40</v>
      </c>
      <c r="B6" s="11">
        <f>$C$2*POWER(B4, $C$3)</f>
        <v>0.2012933010103849</v>
      </c>
      <c r="C6" s="11">
        <f>$C$2*POWER(C4, $C$3)</f>
        <v>0.19037389547677958</v>
      </c>
      <c r="D6" s="11">
        <f>$C$2*POWER(D4, $C$3)</f>
        <v>0.17190358815543305</v>
      </c>
    </row>
    <row r="7" spans="1:4" x14ac:dyDescent="0.3">
      <c r="A7" t="s">
        <v>44</v>
      </c>
      <c r="B7" s="11">
        <f>B6*B4*B4</f>
        <v>3.2206928161661583</v>
      </c>
      <c r="C7" s="11">
        <f t="shared" ref="C7:D7" si="0">C6*C4*C4</f>
        <v>3.3103926310561724</v>
      </c>
      <c r="D7" s="11">
        <f t="shared" si="0"/>
        <v>3.4810476601475195</v>
      </c>
    </row>
    <row r="8" spans="1:4" x14ac:dyDescent="0.3">
      <c r="A8" s="9" t="s">
        <v>45</v>
      </c>
      <c r="B8" s="10">
        <f>B7/($C$5/1000)</f>
        <v>134.19553400692325</v>
      </c>
      <c r="C8" s="10">
        <f t="shared" ref="C8:D8" si="1">C7/($C$5/1000)</f>
        <v>137.93302629400719</v>
      </c>
      <c r="D8" s="10">
        <f t="shared" si="1"/>
        <v>145.04365250614666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Voltage-Speed conversion</vt:lpstr>
      <vt:lpstr>Bus sense</vt:lpstr>
      <vt:lpstr>+15V power supply LM317</vt:lpstr>
      <vt:lpstr>+3.3V power supply LM317</vt:lpstr>
      <vt:lpstr>Temperatures</vt:lpstr>
      <vt:lpstr>(old) +15V power supply TL431</vt:lpstr>
      <vt:lpstr>(old) +3.3V power supply TL431</vt:lpstr>
      <vt:lpstr>(old) NTC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Antov Iliyan</dc:creator>
  <cp:lastModifiedBy>Iliyan Antov</cp:lastModifiedBy>
  <dcterms:created xsi:type="dcterms:W3CDTF">2015-06-05T18:19:34Z</dcterms:created>
  <dcterms:modified xsi:type="dcterms:W3CDTF">2025-06-04T19:31:18Z</dcterms:modified>
</cp:coreProperties>
</file>